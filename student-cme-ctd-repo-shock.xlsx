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8_{349F19E7-8A1D-44BA-9805-6B52D3B75BD7}" xr6:coauthVersionLast="47" xr6:coauthVersionMax="47" xr10:uidLastSave="{00000000-0000-0000-0000-000000000000}"/>
  <bookViews>
    <workbookView xWindow="-28920" yWindow="-120" windowWidth="29040" windowHeight="15720" xr2:uid="{92CA2B1D-0C91-45FC-8AD3-CA2E32E74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G11" i="1"/>
  <c r="G9" i="1" s="1"/>
  <c r="G5" i="1" s="1"/>
  <c r="G10" i="1" l="1"/>
  <c r="G13" i="1" l="1"/>
  <c r="G12" i="1"/>
  <c r="G2" i="1" s="1"/>
  <c r="G3" i="1" l="1"/>
  <c r="G14" i="1"/>
  <c r="G6" i="1"/>
  <c r="J5" i="1"/>
  <c r="G4" i="1" l="1"/>
  <c r="J3" i="1"/>
  <c r="J4" i="1" s="1"/>
  <c r="G7" i="1"/>
  <c r="J6" i="1" l="1"/>
  <c r="J7" i="1" s="1"/>
  <c r="G8" i="1"/>
</calcChain>
</file>

<file path=xl/sharedStrings.xml><?xml version="1.0" encoding="utf-8"?>
<sst xmlns="http://schemas.openxmlformats.org/spreadsheetml/2006/main" count="34" uniqueCount="32">
  <si>
    <t>ctd par</t>
  </si>
  <si>
    <t>ctd clean</t>
  </si>
  <si>
    <t>ctd coup freq per year</t>
  </si>
  <si>
    <t>days since last coup</t>
  </si>
  <si>
    <t>days in coup period</t>
  </si>
  <si>
    <t>futures cf</t>
  </si>
  <si>
    <t>days to fut delivery</t>
  </si>
  <si>
    <t>input</t>
  </si>
  <si>
    <t>student-cme-ctd-repo-shock</t>
  </si>
  <si>
    <t>output</t>
  </si>
  <si>
    <t>ctd dirty price</t>
  </si>
  <si>
    <t>proj fut acc int</t>
  </si>
  <si>
    <t>ctd acc int</t>
  </si>
  <si>
    <t>change in gross</t>
  </si>
  <si>
    <t>change in FV price</t>
  </si>
  <si>
    <t>change in invoice price</t>
  </si>
  <si>
    <r>
      <t xml:space="preserve">futures FV price @ </t>
    </r>
    <r>
      <rPr>
        <b/>
        <sz val="11"/>
        <color theme="8" tint="0.39997558519241921"/>
        <rFont val="Aptos Narrow"/>
        <family val="2"/>
        <scheme val="minor"/>
      </rPr>
      <t>repo</t>
    </r>
  </si>
  <si>
    <r>
      <t xml:space="preserve">futures FV price @ </t>
    </r>
    <r>
      <rPr>
        <b/>
        <sz val="11"/>
        <color theme="6" tint="0.39997558519241921"/>
        <rFont val="Aptos Narrow"/>
        <family val="2"/>
        <scheme val="minor"/>
      </rPr>
      <t>shock</t>
    </r>
  </si>
  <si>
    <r>
      <t xml:space="preserve">invoice price @ </t>
    </r>
    <r>
      <rPr>
        <b/>
        <sz val="11"/>
        <color theme="8" tint="0.39997558519241921"/>
        <rFont val="Aptos Narrow"/>
        <family val="2"/>
        <scheme val="minor"/>
      </rPr>
      <t>repo</t>
    </r>
  </si>
  <si>
    <r>
      <t xml:space="preserve">invoice price @ </t>
    </r>
    <r>
      <rPr>
        <b/>
        <sz val="11"/>
        <color theme="6" tint="0.39997558519241921"/>
        <rFont val="Aptos Narrow"/>
        <family val="2"/>
        <scheme val="minor"/>
      </rPr>
      <t>shock</t>
    </r>
  </si>
  <si>
    <r>
      <t xml:space="preserve">gross basis @ </t>
    </r>
    <r>
      <rPr>
        <b/>
        <sz val="11"/>
        <color theme="8" tint="0.39997558519241921"/>
        <rFont val="Aptos Narrow"/>
        <family val="2"/>
        <scheme val="minor"/>
      </rPr>
      <t>repo</t>
    </r>
  </si>
  <si>
    <r>
      <t xml:space="preserve">gross basis @ </t>
    </r>
    <r>
      <rPr>
        <b/>
        <sz val="11"/>
        <color theme="6" tint="0.39997558519241921"/>
        <rFont val="Aptos Narrow"/>
        <family val="2"/>
        <scheme val="minor"/>
      </rPr>
      <t>shock</t>
    </r>
  </si>
  <si>
    <t>change in net</t>
  </si>
  <si>
    <r>
      <t xml:space="preserve">net basis @ </t>
    </r>
    <r>
      <rPr>
        <b/>
        <sz val="11"/>
        <color theme="8" tint="0.39997558519241921"/>
        <rFont val="Aptos Narrow"/>
        <family val="2"/>
        <scheme val="minor"/>
      </rPr>
      <t>repo</t>
    </r>
  </si>
  <si>
    <r>
      <t xml:space="preserve">net basis @ </t>
    </r>
    <r>
      <rPr>
        <b/>
        <sz val="11"/>
        <color theme="6" tint="0.39997558519241921"/>
        <rFont val="Aptos Narrow"/>
        <family val="2"/>
        <scheme val="minor"/>
      </rPr>
      <t>shock</t>
    </r>
  </si>
  <si>
    <t>ctd coup payment</t>
  </si>
  <si>
    <t>repo financing cost</t>
  </si>
  <si>
    <t>shock financing cost</t>
  </si>
  <si>
    <t>change in fiancing cost</t>
  </si>
  <si>
    <t>ctd coup rate decimal</t>
  </si>
  <si>
    <t>repo rate decimal</t>
  </si>
  <si>
    <t>repo shock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</si>
</sst>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Fill="1"/>
    <xf numFmtId="0" fontId="0" fillId="12" borderId="0" xfId="0" applyFill="1"/>
    <xf numFmtId="0" fontId="0" fillId="13" borderId="0" xfId="0" applyFill="1"/>
    <xf numFmtId="0" fontId="0" fillId="9" borderId="1" xfId="0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6" borderId="0" xfId="0" applyFill="1" applyBorder="1"/>
    <xf numFmtId="0" fontId="0" fillId="11" borderId="1" xfId="0" applyFill="1" applyBorder="1"/>
    <xf numFmtId="0" fontId="0" fillId="10" borderId="1" xfId="0" applyFill="1" applyBorder="1" applyAlignment="1">
      <alignment wrapText="1"/>
    </xf>
    <xf numFmtId="0" fontId="0" fillId="14" borderId="0" xfId="0" applyFill="1"/>
    <xf numFmtId="0" fontId="0" fillId="12" borderId="1" xfId="0" applyFill="1" applyBorder="1"/>
    <xf numFmtId="0" fontId="0" fillId="14" borderId="1" xfId="0" applyFill="1" applyBorder="1"/>
    <xf numFmtId="0" fontId="0" fillId="12" borderId="0" xfId="0" applyFill="1" applyBorder="1"/>
    <xf numFmtId="0" fontId="0" fillId="3" borderId="1" xfId="0" applyFill="1" applyBorder="1"/>
    <xf numFmtId="0" fontId="0" fillId="4" borderId="1" xfId="0" applyFill="1" applyBorder="1"/>
    <xf numFmtId="0" fontId="0" fillId="10" borderId="0" xfId="0" applyFill="1" applyBorder="1"/>
    <xf numFmtId="0" fontId="0" fillId="15" borderId="0" xfId="0" applyFill="1"/>
    <xf numFmtId="0" fontId="0" fillId="10" borderId="0" xfId="0" applyFont="1" applyFill="1" applyBorder="1"/>
    <xf numFmtId="0" fontId="0" fillId="10" borderId="1" xfId="0" applyFill="1" applyBorder="1"/>
    <xf numFmtId="0" fontId="0" fillId="1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8194-115F-4438-A5DC-016398858F09}">
  <dimension ref="A1:J14"/>
  <sheetViews>
    <sheetView tabSelected="1" zoomScale="130" zoomScaleNormal="130" workbookViewId="0">
      <selection activeCell="C4" sqref="C4"/>
    </sheetView>
  </sheetViews>
  <sheetFormatPr defaultRowHeight="15" x14ac:dyDescent="0.25"/>
  <cols>
    <col min="1" max="1" width="30.28515625" customWidth="1"/>
    <col min="2" max="2" width="10.85546875" customWidth="1"/>
    <col min="3" max="3" width="19.7109375" customWidth="1"/>
    <col min="4" max="4" width="10.5703125" customWidth="1"/>
    <col min="6" max="6" width="23.28515625" customWidth="1"/>
    <col min="7" max="7" width="10.7109375" customWidth="1"/>
    <col min="9" max="9" width="19.7109375" customWidth="1"/>
    <col min="10" max="10" width="10.42578125" customWidth="1"/>
  </cols>
  <sheetData>
    <row r="1" spans="1:10" ht="33" customHeight="1" x14ac:dyDescent="0.25">
      <c r="A1" s="1" t="s">
        <v>8</v>
      </c>
      <c r="B1" s="2" t="s">
        <v>7</v>
      </c>
      <c r="D1" s="2" t="s">
        <v>7</v>
      </c>
      <c r="G1" s="9" t="s">
        <v>9</v>
      </c>
      <c r="J1" s="9" t="s">
        <v>9</v>
      </c>
    </row>
    <row r="2" spans="1:10" ht="33.75" customHeight="1" x14ac:dyDescent="0.25">
      <c r="A2" s="20" t="s">
        <v>30</v>
      </c>
      <c r="B2" s="21">
        <v>4.4999999999999998E-2</v>
      </c>
      <c r="C2" s="15" t="s">
        <v>31</v>
      </c>
      <c r="D2" s="14">
        <v>8.7500000000000008E-3</v>
      </c>
      <c r="F2" s="5" t="s">
        <v>16</v>
      </c>
      <c r="G2" s="6">
        <f>(G10+G12-G5)/B9</f>
        <v>111.65583480784751</v>
      </c>
      <c r="I2" s="8" t="s">
        <v>20</v>
      </c>
      <c r="J2" s="16">
        <f>G10-(G2*B9)</f>
        <v>0.72579498626373606</v>
      </c>
    </row>
    <row r="3" spans="1:10" ht="33.75" customHeight="1" x14ac:dyDescent="0.25">
      <c r="A3" s="3" t="s">
        <v>0</v>
      </c>
      <c r="B3" s="4">
        <v>100</v>
      </c>
      <c r="F3" s="5" t="s">
        <v>17</v>
      </c>
      <c r="G3" s="6">
        <f>(G10+G13-G5)/B9</f>
        <v>111.77885536955981</v>
      </c>
      <c r="I3" s="8" t="s">
        <v>21</v>
      </c>
      <c r="J3" s="16">
        <f>G10-(G3*B9)</f>
        <v>0.61692178914836404</v>
      </c>
    </row>
    <row r="4" spans="1:10" ht="32.25" customHeight="1" x14ac:dyDescent="0.25">
      <c r="A4" s="3" t="s">
        <v>1</v>
      </c>
      <c r="B4" s="4">
        <v>98.75</v>
      </c>
      <c r="F4" s="11" t="s">
        <v>14</v>
      </c>
      <c r="G4" s="10">
        <f>G3-G2</f>
        <v>0.12302056171229481</v>
      </c>
      <c r="I4" s="17" t="s">
        <v>13</v>
      </c>
      <c r="J4" s="18">
        <f>J3-J2</f>
        <v>-0.10887319711537202</v>
      </c>
    </row>
    <row r="5" spans="1:10" ht="32.25" customHeight="1" x14ac:dyDescent="0.25">
      <c r="A5" s="3" t="s">
        <v>29</v>
      </c>
      <c r="B5" s="4">
        <v>0.04</v>
      </c>
      <c r="F5" s="5" t="s">
        <v>11</v>
      </c>
      <c r="G5" s="6">
        <f>G9+((B10/B8)*G11)</f>
        <v>1.2857142857142856</v>
      </c>
      <c r="I5" s="8" t="s">
        <v>23</v>
      </c>
      <c r="J5" s="16">
        <f>G10-G6</f>
        <v>-0.55991929945055574</v>
      </c>
    </row>
    <row r="6" spans="1:10" ht="29.25" customHeight="1" x14ac:dyDescent="0.25">
      <c r="A6" s="3" t="s">
        <v>2</v>
      </c>
      <c r="B6" s="4">
        <v>2</v>
      </c>
      <c r="F6" s="5" t="s">
        <v>18</v>
      </c>
      <c r="G6" s="6">
        <f>(G2*B9)+G5</f>
        <v>100.10112809065934</v>
      </c>
      <c r="I6" s="19" t="s">
        <v>24</v>
      </c>
      <c r="J6" s="16">
        <f>G10-G7</f>
        <v>-0.66879249656592776</v>
      </c>
    </row>
    <row r="7" spans="1:10" ht="30.75" customHeight="1" x14ac:dyDescent="0.25">
      <c r="A7" s="3" t="s">
        <v>3</v>
      </c>
      <c r="B7" s="4">
        <v>72</v>
      </c>
      <c r="F7" s="5" t="s">
        <v>19</v>
      </c>
      <c r="G7" s="6">
        <f>(G3*B9)+G5</f>
        <v>100.21000128777472</v>
      </c>
      <c r="I7" s="17" t="s">
        <v>22</v>
      </c>
      <c r="J7" s="18">
        <f>J6-J5</f>
        <v>-0.10887319711537202</v>
      </c>
    </row>
    <row r="8" spans="1:10" ht="28.5" customHeight="1" x14ac:dyDescent="0.25">
      <c r="A8" s="3" t="s">
        <v>4</v>
      </c>
      <c r="B8" s="4">
        <v>182</v>
      </c>
      <c r="F8" s="12" t="s">
        <v>15</v>
      </c>
      <c r="G8" s="10">
        <f>G7-G6</f>
        <v>0.10887319711537202</v>
      </c>
    </row>
    <row r="9" spans="1:10" ht="28.5" customHeight="1" x14ac:dyDescent="0.25">
      <c r="A9" s="5" t="s">
        <v>5</v>
      </c>
      <c r="B9" s="6">
        <v>0.88500000000000001</v>
      </c>
      <c r="F9" s="13" t="s">
        <v>12</v>
      </c>
      <c r="G9" s="4">
        <f>(B7/B8)*G11</f>
        <v>0.79120879120879117</v>
      </c>
    </row>
    <row r="10" spans="1:10" ht="27.75" customHeight="1" x14ac:dyDescent="0.25">
      <c r="A10" s="5" t="s">
        <v>6</v>
      </c>
      <c r="B10" s="6">
        <v>45</v>
      </c>
      <c r="F10" s="13" t="s">
        <v>10</v>
      </c>
      <c r="G10" s="4">
        <f>B4+G9</f>
        <v>99.541208791208788</v>
      </c>
    </row>
    <row r="11" spans="1:10" ht="26.25" customHeight="1" x14ac:dyDescent="0.25">
      <c r="A11" s="7"/>
      <c r="B11" s="7"/>
      <c r="F11" s="13" t="s">
        <v>25</v>
      </c>
      <c r="G11" s="4">
        <f>(B5*B3)/B6</f>
        <v>2</v>
      </c>
    </row>
    <row r="12" spans="1:10" ht="28.5" customHeight="1" x14ac:dyDescent="0.25">
      <c r="F12" s="22" t="s">
        <v>26</v>
      </c>
      <c r="G12" s="23">
        <f>G10*B2*(B10/360)</f>
        <v>0.55991929945054941</v>
      </c>
    </row>
    <row r="13" spans="1:10" ht="25.5" customHeight="1" x14ac:dyDescent="0.25">
      <c r="F13" s="24" t="s">
        <v>27</v>
      </c>
      <c r="G13" s="23">
        <f>G10*(B2+D2)*(B10/360)</f>
        <v>0.66879249656593409</v>
      </c>
    </row>
    <row r="14" spans="1:10" ht="27.75" customHeight="1" x14ac:dyDescent="0.25">
      <c r="F14" s="25" t="s">
        <v>28</v>
      </c>
      <c r="G14" s="26">
        <f>G13-G12</f>
        <v>0.10887319711538468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D23807-A922-4EBB-8C16-FB8743FA26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CCFDF3-F81D-43DC-AD66-C6BB8122E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C2A3AF-EE1D-408D-9F3F-538FD6A599FF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aa22a689-7505-4716-b802-371d38c763e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2026-05-31T18:52:42Z</dcterms:created>
  <dcterms:modified xsi:type="dcterms:W3CDTF">2026-06-01T06:25:16Z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